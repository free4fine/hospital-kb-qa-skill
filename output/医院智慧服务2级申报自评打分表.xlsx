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级申报总览" sheetId="1" state="visible" r:id="rId1"/>
    <sheet xmlns:r="http://schemas.openxmlformats.org/officeDocument/2006/relationships" name="2级基本项清单" sheetId="2" state="visible" r:id="rId2"/>
    <sheet xmlns:r="http://schemas.openxmlformats.org/officeDocument/2006/relationships" name="填报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6" customWidth="1" min="3" max="3"/>
    <col width="16" customWidth="1" min="4" max="4"/>
  </cols>
  <sheetData>
    <row r="1">
      <c r="A1" s="1" t="inlineStr">
        <is>
          <t>医院智慧服务2级申报自评打分表</t>
        </is>
      </c>
    </row>
    <row r="3">
      <c r="A3" s="2" t="inlineStr">
        <is>
          <t>填报单位</t>
        </is>
      </c>
      <c r="B3" s="3" t="inlineStr"/>
    </row>
    <row r="4">
      <c r="A4" s="2" t="inlineStr">
        <is>
          <t>评估标准版本</t>
        </is>
      </c>
      <c r="B4" s="3" t="inlineStr">
        <is>
          <t>医院智慧服务分级评估标准体系（试行）20190801</t>
        </is>
      </c>
    </row>
    <row r="5">
      <c r="A5" s="2" t="inlineStr">
        <is>
          <t>目标等级</t>
        </is>
      </c>
      <c r="B5" s="3" t="inlineStr">
        <is>
          <t>2级</t>
        </is>
      </c>
    </row>
    <row r="6">
      <c r="A6" s="2" t="inlineStr">
        <is>
          <t>2级最低总分要求</t>
        </is>
      </c>
      <c r="B6" s="3" t="n">
        <v>20</v>
      </c>
    </row>
    <row r="7">
      <c r="A7" s="2" t="inlineStr">
        <is>
          <t>2级基本项目要求</t>
        </is>
      </c>
      <c r="B7" s="3" t="inlineStr">
        <is>
          <t>6项且全部达标</t>
        </is>
      </c>
    </row>
    <row r="8">
      <c r="A8" s="2" t="inlineStr">
        <is>
          <t>2级选择项目要求</t>
        </is>
      </c>
      <c r="B8" s="3" t="inlineStr">
        <is>
          <t>≥6/11</t>
        </is>
      </c>
    </row>
    <row r="9">
      <c r="A9" s="2" t="n"/>
      <c r="B9" s="3" t="n"/>
    </row>
    <row r="10">
      <c r="A10" s="2" t="inlineStr">
        <is>
          <t>综合评估总分（人工填报）</t>
        </is>
      </c>
      <c r="B10" s="4" t="inlineStr"/>
    </row>
    <row r="11">
      <c r="A11" s="2" t="inlineStr">
        <is>
          <t>选择项目达标数（人工填报）</t>
        </is>
      </c>
      <c r="B11" s="4" t="inlineStr"/>
    </row>
    <row r="12">
      <c r="A12" s="2" t="inlineStr">
        <is>
          <t>基本项条款总数</t>
        </is>
      </c>
      <c r="B12" s="3">
        <f>MAX(COUNTA('2级基本项清单'!A:A)-1,0)</f>
        <v/>
      </c>
    </row>
    <row r="13">
      <c r="A13" s="2" t="inlineStr">
        <is>
          <t>基本项已达标条款数</t>
        </is>
      </c>
      <c r="B13" s="3">
        <f>COUNTIF('2级基本项清单'!F:F,"符合")</f>
        <v/>
      </c>
    </row>
    <row r="14">
      <c r="A14" s="2" t="inlineStr">
        <is>
          <t>基本项条款达标率</t>
        </is>
      </c>
      <c r="B14" s="5">
        <f>IF(B12=0,0,B13/B12)</f>
        <v/>
      </c>
    </row>
    <row r="15">
      <c r="A15" s="2" t="inlineStr">
        <is>
          <t>基本项目是否全部达标</t>
        </is>
      </c>
      <c r="B15" s="3">
        <f>IF(COUNTIFS('2级基本项清单'!F:F,"&lt;&gt;",'2级基本项清单'!F:F,"&lt;&gt;符合")=0,"是","否")</f>
        <v/>
      </c>
    </row>
    <row r="16">
      <c r="A16" s="2" t="inlineStr">
        <is>
          <t>申报建议</t>
        </is>
      </c>
      <c r="B16" s="3">
        <f>IF(AND(B10&gt;=20,B11&gt;=6,B15="是"),"可申报2级（建议复核）","暂不满足2级申报")</f>
        <v/>
      </c>
    </row>
    <row r="17">
      <c r="A17" s="3" t="n"/>
      <c r="B17" s="3" t="n"/>
    </row>
    <row r="18">
      <c r="A18" s="2" t="inlineStr">
        <is>
          <t>2级基本项目（条款数）</t>
        </is>
      </c>
      <c r="B18" s="3" t="n"/>
    </row>
    <row r="19">
      <c r="A19" s="3" t="inlineStr">
        <is>
          <t>诊疗预约要点：医院对就诊、检查、治疗等的预约服务功能应用范围：应用电子系统预约的人次数占总预约人次数比例</t>
        </is>
      </c>
      <c r="B19" s="3" t="n">
        <v>6</v>
      </c>
    </row>
    <row r="20">
      <c r="A20" s="3" t="inlineStr">
        <is>
          <t>标识与导航要点：医院为患者提供电子化就医引导的环境与功能</t>
        </is>
      </c>
      <c r="B20" s="3" t="n">
        <v>3</v>
      </c>
    </row>
    <row r="21">
      <c r="A21" s="3" t="inlineStr">
        <is>
          <t>药品调剂与配送要点：电子化的药品调配、供应、配送服务能力</t>
        </is>
      </c>
      <c r="B21" s="3" t="n">
        <v>3</v>
      </c>
    </row>
    <row r="22">
      <c r="A22" s="3" t="inlineStr">
        <is>
          <t>费用支付要点：为患者提供各类电子化付费服务的功能</t>
        </is>
      </c>
      <c r="B22" s="3" t="n">
        <v>3</v>
      </c>
    </row>
    <row r="23">
      <c r="A23" s="3" t="inlineStr">
        <is>
          <t>健康宣教要点：医院对患者及家属提供健康教育的功能</t>
        </is>
      </c>
      <c r="B23" s="3" t="n">
        <v>1</v>
      </c>
    </row>
    <row r="24">
      <c r="A24" s="3" t="inlineStr">
        <is>
          <t>安全管理要点：智慧服务系统基础设施、管理与安全状况应用范围：身份认证系统占全部系统比例</t>
        </is>
      </c>
      <c r="B24" s="3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40" customWidth="1" min="3" max="3"/>
    <col width="10" customWidth="1" min="4" max="4"/>
    <col width="56" customWidth="1" min="5" max="5"/>
    <col width="12" customWidth="1" min="6" max="6"/>
    <col width="10" customWidth="1" min="7" max="7"/>
    <col width="28" customWidth="1" min="8" max="8"/>
    <col width="20" customWidth="1" min="9" max="9"/>
    <col width="24" customWidth="1" min="10" max="10"/>
    <col width="14" customWidth="1" min="11" max="11"/>
    <col width="12" customWidth="1" min="12" max="12"/>
    <col width="12" customWidth="1" min="13" max="13"/>
    <col width="18" customWidth="1" min="14" max="14"/>
  </cols>
  <sheetData>
    <row r="1">
      <c r="A1" s="6" t="inlineStr">
        <is>
          <t>序号</t>
        </is>
      </c>
      <c r="B1" s="6" t="inlineStr">
        <is>
          <t>评估类别</t>
        </is>
      </c>
      <c r="C1" s="6" t="inlineStr">
        <is>
          <t>业务项目</t>
        </is>
      </c>
      <c r="D1" s="6" t="inlineStr">
        <is>
          <t>条款编号</t>
        </is>
      </c>
      <c r="E1" s="6" t="inlineStr">
        <is>
          <t>条款内容</t>
        </is>
      </c>
      <c r="F1" s="6" t="inlineStr">
        <is>
          <t>现场状态</t>
        </is>
      </c>
      <c r="G1" s="6" t="inlineStr">
        <is>
          <t>自评得分</t>
        </is>
      </c>
      <c r="H1" s="6" t="inlineStr">
        <is>
          <t>证据材料/系统截图</t>
        </is>
      </c>
      <c r="I1" s="6" t="inlineStr">
        <is>
          <t>问题与差距</t>
        </is>
      </c>
      <c r="J1" s="6" t="inlineStr">
        <is>
          <t>整改计划</t>
        </is>
      </c>
      <c r="K1" s="6" t="inlineStr">
        <is>
          <t>责任部门</t>
        </is>
      </c>
      <c r="L1" s="6" t="inlineStr">
        <is>
          <t>责任人</t>
        </is>
      </c>
      <c r="M1" s="6" t="inlineStr">
        <is>
          <t>完成期限</t>
        </is>
      </c>
      <c r="N1" s="6" t="inlineStr">
        <is>
          <t>来源定位</t>
        </is>
      </c>
    </row>
    <row r="2">
      <c r="A2" s="7" t="n">
        <v>1</v>
      </c>
      <c r="B2" s="7" t="inlineStr">
        <is>
          <t>诊前服务</t>
        </is>
      </c>
      <c r="C2" s="7" t="inlineStr">
        <is>
          <t>诊疗预约要点：医院对就诊、检查、治疗等的预约服务功能应用范围：应用电子系统预约的人次数占总预约人次数比例</t>
        </is>
      </c>
      <c r="D2" s="7" t="inlineStr">
        <is>
          <t>1</t>
        </is>
      </c>
      <c r="E2" s="7" t="inlineStr">
        <is>
          <t>（1）支持多种证件的患者身份认证（如居民身份证、户口簿、军官证、港澳居民来往内地通行证、台湾居民来往大陆通行证、护照、外国人居留证等）；</t>
        </is>
      </c>
      <c r="F2" s="7" t="inlineStr">
        <is>
          <t>待确认</t>
        </is>
      </c>
      <c r="G2" s="7">
        <f>IF(F2="符合",1,0)</f>
        <v/>
      </c>
      <c r="H2" s="7" t="inlineStr"/>
      <c r="I2" s="7" t="inlineStr"/>
      <c r="J2" s="7" t="inlineStr"/>
      <c r="K2" s="7" t="inlineStr"/>
      <c r="L2" s="7" t="inlineStr"/>
      <c r="M2" s="7" t="inlineStr"/>
      <c r="N2" s="7" t="inlineStr">
        <is>
          <t>table=3, row=4</t>
        </is>
      </c>
    </row>
    <row r="3">
      <c r="A3" s="7" t="n">
        <v>2</v>
      </c>
      <c r="B3" s="7" t="inlineStr">
        <is>
          <t>诊前服务</t>
        </is>
      </c>
      <c r="C3" s="7" t="inlineStr">
        <is>
          <t>诊疗预约要点：医院对就诊、检查、治疗等的预约服务功能应用范围：应用电子系统预约的人次数占总预约人次数比例</t>
        </is>
      </c>
      <c r="D3" s="7" t="inlineStr">
        <is>
          <t>2</t>
        </is>
      </c>
      <c r="E3" s="7" t="inlineStr">
        <is>
          <t>（2）实现院内患者基本信息、患者挂号信息在挂号柜台、门诊诊间的联通；</t>
        </is>
      </c>
      <c r="F3" s="7" t="inlineStr">
        <is>
          <t>待确认</t>
        </is>
      </c>
      <c r="G3" s="7">
        <f>IF(F3="符合",1,0)</f>
        <v/>
      </c>
      <c r="H3" s="7" t="inlineStr"/>
      <c r="I3" s="7" t="inlineStr"/>
      <c r="J3" s="7" t="inlineStr"/>
      <c r="K3" s="7" t="inlineStr"/>
      <c r="L3" s="7" t="inlineStr"/>
      <c r="M3" s="7" t="inlineStr"/>
      <c r="N3" s="7" t="inlineStr">
        <is>
          <t>table=3, row=5</t>
        </is>
      </c>
    </row>
    <row r="4">
      <c r="A4" s="7" t="n">
        <v>3</v>
      </c>
      <c r="B4" s="7" t="inlineStr">
        <is>
          <t>诊前服务</t>
        </is>
      </c>
      <c r="C4" s="7" t="inlineStr">
        <is>
          <t>诊疗预约要点：医院对就诊、检查、治疗等的预约服务功能应用范围：应用电子系统预约的人次数占总预约人次数比例</t>
        </is>
      </c>
      <c r="D4" s="7" t="inlineStr">
        <is>
          <t>3</t>
        </is>
      </c>
      <c r="E4" s="7" t="inlineStr">
        <is>
          <t>（3）能够在门诊诊间完成日间手术、治疗的申请与预约；</t>
        </is>
      </c>
      <c r="F4" s="7" t="inlineStr">
        <is>
          <t>待确认</t>
        </is>
      </c>
      <c r="G4" s="7">
        <f>IF(F4="符合",1,0)</f>
        <v/>
      </c>
      <c r="H4" s="7" t="inlineStr"/>
      <c r="I4" s="7" t="inlineStr"/>
      <c r="J4" s="7" t="inlineStr"/>
      <c r="K4" s="7" t="inlineStr"/>
      <c r="L4" s="7" t="inlineStr"/>
      <c r="M4" s="7" t="inlineStr"/>
      <c r="N4" s="7" t="inlineStr">
        <is>
          <t>table=3, row=6</t>
        </is>
      </c>
    </row>
    <row r="5">
      <c r="A5" s="7" t="n">
        <v>4</v>
      </c>
      <c r="B5" s="7" t="inlineStr">
        <is>
          <t>诊前服务</t>
        </is>
      </c>
      <c r="C5" s="7" t="inlineStr">
        <is>
          <t>诊疗预约要点：医院对就诊、检查、治疗等的预约服务功能应用范围：应用电子系统预约的人次数占总预约人次数比例</t>
        </is>
      </c>
      <c r="D5" s="7" t="inlineStr">
        <is>
          <t>4</t>
        </is>
      </c>
      <c r="E5" s="7" t="inlineStr">
        <is>
          <t>（4）能够在诊间开具电子住院单，住院申请预约能够在门诊诊间、住院处、病房共享；</t>
        </is>
      </c>
      <c r="F5" s="7" t="inlineStr">
        <is>
          <t>待确认</t>
        </is>
      </c>
      <c r="G5" s="7">
        <f>IF(F5="符合",1,0)</f>
        <v/>
      </c>
      <c r="H5" s="7" t="inlineStr"/>
      <c r="I5" s="7" t="inlineStr"/>
      <c r="J5" s="7" t="inlineStr"/>
      <c r="K5" s="7" t="inlineStr"/>
      <c r="L5" s="7" t="inlineStr"/>
      <c r="M5" s="7" t="inlineStr"/>
      <c r="N5" s="7" t="inlineStr">
        <is>
          <t>table=3, row=7</t>
        </is>
      </c>
    </row>
    <row r="6">
      <c r="A6" s="7" t="n">
        <v>5</v>
      </c>
      <c r="B6" s="7" t="inlineStr">
        <is>
          <t>诊前服务</t>
        </is>
      </c>
      <c r="C6" s="7" t="inlineStr">
        <is>
          <t>诊疗预约要点：医院对就诊、检查、治疗等的预约服务功能应用范围：应用电子系统预约的人次数占总预约人次数比例</t>
        </is>
      </c>
      <c r="D6" s="7" t="inlineStr">
        <is>
          <t>5</t>
        </is>
      </c>
      <c r="E6" s="7" t="inlineStr">
        <is>
          <t>（5）就诊号池、检查、治疗等安排信息在院内共享；</t>
        </is>
      </c>
      <c r="F6" s="7" t="inlineStr">
        <is>
          <t>待确认</t>
        </is>
      </c>
      <c r="G6" s="7">
        <f>IF(F6="符合",1,0)</f>
        <v/>
      </c>
      <c r="H6" s="7" t="inlineStr"/>
      <c r="I6" s="7" t="inlineStr"/>
      <c r="J6" s="7" t="inlineStr"/>
      <c r="K6" s="7" t="inlineStr"/>
      <c r="L6" s="7" t="inlineStr"/>
      <c r="M6" s="7" t="inlineStr"/>
      <c r="N6" s="7" t="inlineStr">
        <is>
          <t>table=3, row=8</t>
        </is>
      </c>
    </row>
    <row r="7">
      <c r="A7" s="7" t="n">
        <v>6</v>
      </c>
      <c r="B7" s="7" t="inlineStr">
        <is>
          <t>诊前服务</t>
        </is>
      </c>
      <c r="C7" s="7" t="inlineStr">
        <is>
          <t>诊疗预约要点：医院对就诊、检查、治疗等的预约服务功能应用范围：应用电子系统预约的人次数占总预约人次数比例</t>
        </is>
      </c>
      <c r="D7" s="7" t="inlineStr">
        <is>
          <t>6</t>
        </is>
      </c>
      <c r="E7" s="7" t="inlineStr">
        <is>
          <t>（6）支持使用自助设备或在门诊诊间完成就诊、检查、检验预约与管理。</t>
        </is>
      </c>
      <c r="F7" s="7" t="inlineStr">
        <is>
          <t>待确认</t>
        </is>
      </c>
      <c r="G7" s="7">
        <f>IF(F7="符合",1,0)</f>
        <v/>
      </c>
      <c r="H7" s="7" t="inlineStr"/>
      <c r="I7" s="7" t="inlineStr"/>
      <c r="J7" s="7" t="inlineStr"/>
      <c r="K7" s="7" t="inlineStr"/>
      <c r="L7" s="7" t="inlineStr"/>
      <c r="M7" s="7" t="inlineStr"/>
      <c r="N7" s="7" t="inlineStr">
        <is>
          <t>table=3, row=9</t>
        </is>
      </c>
    </row>
    <row r="8">
      <c r="A8" s="7" t="n">
        <v>7</v>
      </c>
      <c r="B8" s="7" t="inlineStr">
        <is>
          <t>诊中服务</t>
        </is>
      </c>
      <c r="C8" s="7" t="inlineStr">
        <is>
          <t>标识与导航要点：医院为患者提供电子化就医引导的环境与功能</t>
        </is>
      </c>
      <c r="D8" s="7" t="inlineStr">
        <is>
          <t>1</t>
        </is>
      </c>
      <c r="E8" s="7" t="inlineStr">
        <is>
          <t>（1）挂号、收费、药房等服务部门的公共信息有电子化展示，并能够与所在部门业务系统联动，如就诊到检、剩余号源、候诊信息、取药信息、抽血到检、检查到检等，实现不少于3项；</t>
        </is>
      </c>
      <c r="F8" s="7" t="inlineStr">
        <is>
          <t>待确认</t>
        </is>
      </c>
      <c r="G8" s="7">
        <f>IF(F8="符合",1,0)</f>
        <v/>
      </c>
      <c r="H8" s="7" t="inlineStr"/>
      <c r="I8" s="7" t="inlineStr"/>
      <c r="J8" s="7" t="inlineStr"/>
      <c r="K8" s="7" t="inlineStr"/>
      <c r="L8" s="7" t="inlineStr"/>
      <c r="M8" s="7" t="inlineStr"/>
      <c r="N8" s="7" t="inlineStr">
        <is>
          <t>table=6, row=4</t>
        </is>
      </c>
    </row>
    <row r="9">
      <c r="A9" s="7" t="n">
        <v>8</v>
      </c>
      <c r="B9" s="7" t="inlineStr">
        <is>
          <t>诊中服务</t>
        </is>
      </c>
      <c r="C9" s="7" t="inlineStr">
        <is>
          <t>标识与导航要点：医院为患者提供电子化就医引导的环境与功能</t>
        </is>
      </c>
      <c r="D9" s="7" t="inlineStr">
        <is>
          <t>2</t>
        </is>
      </c>
      <c r="E9" s="7" t="inlineStr">
        <is>
          <t>（2）门诊诊室外有电子显示系统，与挂号、报到、就诊等信息联动；</t>
        </is>
      </c>
      <c r="F9" s="7" t="inlineStr">
        <is>
          <t>待确认</t>
        </is>
      </c>
      <c r="G9" s="7">
        <f>IF(F9="符合",1,0)</f>
        <v/>
      </c>
      <c r="H9" s="7" t="inlineStr"/>
      <c r="I9" s="7" t="inlineStr"/>
      <c r="J9" s="7" t="inlineStr"/>
      <c r="K9" s="7" t="inlineStr"/>
      <c r="L9" s="7" t="inlineStr"/>
      <c r="M9" s="7" t="inlineStr"/>
      <c r="N9" s="7" t="inlineStr">
        <is>
          <t>table=6, row=5</t>
        </is>
      </c>
    </row>
    <row r="10">
      <c r="A10" s="7" t="n">
        <v>9</v>
      </c>
      <c r="B10" s="7" t="inlineStr">
        <is>
          <t>诊中服务</t>
        </is>
      </c>
      <c r="C10" s="7" t="inlineStr">
        <is>
          <t>标识与导航要点：医院为患者提供电子化就医引导的环境与功能</t>
        </is>
      </c>
      <c r="D10" s="7" t="inlineStr">
        <is>
          <t>3</t>
        </is>
      </c>
      <c r="E10" s="7" t="inlineStr">
        <is>
          <t>（3）打印的号条、检查单、导诊单上有准确的诊疗科室位置信息。</t>
        </is>
      </c>
      <c r="F10" s="7" t="inlineStr">
        <is>
          <t>待确认</t>
        </is>
      </c>
      <c r="G10" s="7">
        <f>IF(F10="符合",1,0)</f>
        <v/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>
        <is>
          <t>table=6, row=6</t>
        </is>
      </c>
    </row>
    <row r="11">
      <c r="A11" s="7" t="n">
        <v>10</v>
      </c>
      <c r="B11" s="7" t="inlineStr">
        <is>
          <t>诊后服务</t>
        </is>
      </c>
      <c r="C11" s="7" t="inlineStr">
        <is>
          <t>药品调剂与配送要点：电子化的药品调配、供应、配送服务能力</t>
        </is>
      </c>
      <c r="D11" s="7" t="inlineStr">
        <is>
          <t>1</t>
        </is>
      </c>
      <c r="E11" s="7" t="inlineStr">
        <is>
          <t>（1）支持患者在院内通过自助设备查看处方与医嘱；</t>
        </is>
      </c>
      <c r="F11" s="7" t="inlineStr">
        <is>
          <t>待确认</t>
        </is>
      </c>
      <c r="G11" s="7">
        <f>IF(F11="符合",1,0)</f>
        <v/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>
        <is>
          <t>table=10, row=3</t>
        </is>
      </c>
    </row>
    <row r="12">
      <c r="A12" s="7" t="n">
        <v>11</v>
      </c>
      <c r="B12" s="7" t="inlineStr">
        <is>
          <t>诊后服务</t>
        </is>
      </c>
      <c r="C12" s="7" t="inlineStr">
        <is>
          <t>药品调剂与配送要点：电子化的药品调配、供应、配送服务能力</t>
        </is>
      </c>
      <c r="D12" s="7" t="inlineStr">
        <is>
          <t>2</t>
        </is>
      </c>
      <c r="E12" s="7" t="inlineStr">
        <is>
          <t>（2）院内各科室处方数据统一管理；</t>
        </is>
      </c>
      <c r="F12" s="7" t="inlineStr">
        <is>
          <t>待确认</t>
        </is>
      </c>
      <c r="G12" s="7">
        <f>IF(F12="符合",1,0)</f>
        <v/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>
        <is>
          <t>table=10, row=4</t>
        </is>
      </c>
    </row>
    <row r="13">
      <c r="A13" s="7" t="n">
        <v>12</v>
      </c>
      <c r="B13" s="7" t="inlineStr">
        <is>
          <t>诊后服务</t>
        </is>
      </c>
      <c r="C13" s="7" t="inlineStr">
        <is>
          <t>药品调剂与配送要点：电子化的药品调配、供应、配送服务能力</t>
        </is>
      </c>
      <c r="D13" s="7" t="inlineStr">
        <is>
          <t>3</t>
        </is>
      </c>
      <c r="E13" s="7" t="inlineStr">
        <is>
          <t>（3）处方合理性检查有记录。</t>
        </is>
      </c>
      <c r="F13" s="7" t="inlineStr">
        <is>
          <t>待确认</t>
        </is>
      </c>
      <c r="G13" s="7">
        <f>IF(F13="符合",1,0)</f>
        <v/>
      </c>
      <c r="H13" s="7" t="inlineStr"/>
      <c r="I13" s="7" t="inlineStr"/>
      <c r="J13" s="7" t="inlineStr"/>
      <c r="K13" s="7" t="inlineStr"/>
      <c r="L13" s="7" t="inlineStr"/>
      <c r="M13" s="7" t="inlineStr"/>
      <c r="N13" s="7" t="inlineStr">
        <is>
          <t>table=10, row=5</t>
        </is>
      </c>
    </row>
    <row r="14">
      <c r="A14" s="7" t="n">
        <v>13</v>
      </c>
      <c r="B14" s="7" t="inlineStr">
        <is>
          <t>全程服务</t>
        </is>
      </c>
      <c r="C14" s="7" t="inlineStr">
        <is>
          <t>费用支付要点：为患者提供各类电子化付费服务的功能</t>
        </is>
      </c>
      <c r="D14" s="7" t="inlineStr">
        <is>
          <t>1</t>
        </is>
      </c>
      <c r="E14" s="7" t="inlineStr">
        <is>
          <t>（1）支持患者使用多种缴费方式，包括自助机、诊间计费等，缴费内容支持门急诊、住院；</t>
        </is>
      </c>
      <c r="F14" s="7" t="inlineStr">
        <is>
          <t>待确认</t>
        </is>
      </c>
      <c r="G14" s="7">
        <f>IF(F14="符合",1,0)</f>
        <v/>
      </c>
      <c r="H14" s="7" t="inlineStr"/>
      <c r="I14" s="7" t="inlineStr"/>
      <c r="J14" s="7" t="inlineStr"/>
      <c r="K14" s="7" t="inlineStr"/>
      <c r="L14" s="7" t="inlineStr"/>
      <c r="M14" s="7" t="inlineStr"/>
      <c r="N14" s="7" t="inlineStr">
        <is>
          <t>table=13, row=4</t>
        </is>
      </c>
    </row>
    <row r="15">
      <c r="A15" s="7" t="n">
        <v>14</v>
      </c>
      <c r="B15" s="7" t="inlineStr">
        <is>
          <t>全程服务</t>
        </is>
      </c>
      <c r="C15" s="7" t="inlineStr">
        <is>
          <t>费用支付要点：为患者提供各类电子化付费服务的功能</t>
        </is>
      </c>
      <c r="D15" s="7" t="inlineStr">
        <is>
          <t>2</t>
        </is>
      </c>
      <c r="E15" s="7" t="inlineStr">
        <is>
          <t>（2）缴费信息全院共享，各科室可直接查询，不需纸质凭证进行缴费确认；</t>
        </is>
      </c>
      <c r="F15" s="7" t="inlineStr">
        <is>
          <t>待确认</t>
        </is>
      </c>
      <c r="G15" s="7">
        <f>IF(F15="符合",1,0)</f>
        <v/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>
        <is>
          <t>table=13, row=5</t>
        </is>
      </c>
    </row>
    <row r="16">
      <c r="A16" s="7" t="n">
        <v>15</v>
      </c>
      <c r="B16" s="7" t="inlineStr">
        <is>
          <t>全程服务</t>
        </is>
      </c>
      <c r="C16" s="7" t="inlineStr">
        <is>
          <t>费用支付要点：为患者提供各类电子化付费服务的功能</t>
        </is>
      </c>
      <c r="D16" s="7" t="inlineStr">
        <is>
          <t>3</t>
        </is>
      </c>
      <c r="E16" s="7" t="inlineStr">
        <is>
          <t>（3）医保患者可通过自助机完成结算。</t>
        </is>
      </c>
      <c r="F16" s="7" t="inlineStr">
        <is>
          <t>待确认</t>
        </is>
      </c>
      <c r="G16" s="7">
        <f>IF(F16="符合",1,0)</f>
        <v/>
      </c>
      <c r="H16" s="7" t="inlineStr"/>
      <c r="I16" s="7" t="inlineStr"/>
      <c r="J16" s="7" t="inlineStr"/>
      <c r="K16" s="7" t="inlineStr"/>
      <c r="L16" s="7" t="inlineStr"/>
      <c r="M16" s="7" t="inlineStr"/>
      <c r="N16" s="7" t="inlineStr">
        <is>
          <t>table=13, row=6</t>
        </is>
      </c>
    </row>
    <row r="17">
      <c r="A17" s="7" t="n">
        <v>16</v>
      </c>
      <c r="B17" s="7" t="inlineStr">
        <is>
          <t>全程服务</t>
        </is>
      </c>
      <c r="C17" s="7" t="inlineStr">
        <is>
          <t>健康宣教要点：医院对患者及家属提供健康教育的功能</t>
        </is>
      </c>
      <c r="D17" s="7" t="inlineStr"/>
      <c r="E17" s="7" t="inlineStr">
        <is>
          <t>患者可通过自助设备查询医学知识。</t>
        </is>
      </c>
      <c r="F17" s="7" t="inlineStr">
        <is>
          <t>待确认</t>
        </is>
      </c>
      <c r="G17" s="7">
        <f>IF(F17="符合",1,0)</f>
        <v/>
      </c>
      <c r="H17" s="7" t="inlineStr"/>
      <c r="I17" s="7" t="inlineStr"/>
      <c r="J17" s="7" t="inlineStr"/>
      <c r="K17" s="7" t="inlineStr"/>
      <c r="L17" s="7" t="inlineStr"/>
      <c r="M17" s="7" t="inlineStr"/>
      <c r="N17" s="7" t="inlineStr">
        <is>
          <t>table=15, row=3</t>
        </is>
      </c>
    </row>
    <row r="18">
      <c r="A18" s="7" t="n">
        <v>17</v>
      </c>
      <c r="B18" s="7" t="inlineStr">
        <is>
          <t>基础与安全</t>
        </is>
      </c>
      <c r="C18" s="7" t="inlineStr">
        <is>
          <t>安全管理要点：智慧服务系统基础设施、管理与安全状况应用范围：身份认证系统占全部系统比例</t>
        </is>
      </c>
      <c r="D18" s="7" t="inlineStr">
        <is>
          <t>1</t>
        </is>
      </c>
      <c r="E18" s="7" t="inlineStr">
        <is>
          <t>（1）建立数据安全管理制度；</t>
        </is>
      </c>
      <c r="F18" s="7" t="inlineStr">
        <is>
          <t>待确认</t>
        </is>
      </c>
      <c r="G18" s="7">
        <f>IF(F18="符合",1,0)</f>
        <v/>
      </c>
      <c r="H18" s="7" t="inlineStr"/>
      <c r="I18" s="7" t="inlineStr"/>
      <c r="J18" s="7" t="inlineStr"/>
      <c r="K18" s="7" t="inlineStr"/>
      <c r="L18" s="7" t="inlineStr"/>
      <c r="M18" s="7" t="inlineStr"/>
      <c r="N18" s="7" t="inlineStr">
        <is>
          <t>table=17, row=6</t>
        </is>
      </c>
    </row>
    <row r="19">
      <c r="A19" s="7" t="n">
        <v>18</v>
      </c>
      <c r="B19" s="7" t="inlineStr">
        <is>
          <t>基础与安全</t>
        </is>
      </c>
      <c r="C19" s="7" t="inlineStr">
        <is>
          <t>安全管理要点：智慧服务系统基础设施、管理与安全状况应用范围：身份认证系统占全部系统比例</t>
        </is>
      </c>
      <c r="D19" s="7" t="inlineStr">
        <is>
          <t>2</t>
        </is>
      </c>
      <c r="E19" s="7" t="inlineStr">
        <is>
          <t>（2）服务器、存储等核心设备部署在专用机房内；</t>
        </is>
      </c>
      <c r="F19" s="7" t="inlineStr">
        <is>
          <t>待确认</t>
        </is>
      </c>
      <c r="G19" s="7">
        <f>IF(F19="符合",1,0)</f>
        <v/>
      </c>
      <c r="H19" s="7" t="inlineStr"/>
      <c r="I19" s="7" t="inlineStr"/>
      <c r="J19" s="7" t="inlineStr"/>
      <c r="K19" s="7" t="inlineStr"/>
      <c r="L19" s="7" t="inlineStr"/>
      <c r="M19" s="7" t="inlineStr"/>
      <c r="N19" s="7" t="inlineStr">
        <is>
          <t>table=17, row=7</t>
        </is>
      </c>
    </row>
    <row r="20">
      <c r="A20" s="7" t="n">
        <v>19</v>
      </c>
      <c r="B20" s="7" t="inlineStr">
        <is>
          <t>基础与安全</t>
        </is>
      </c>
      <c r="C20" s="7" t="inlineStr">
        <is>
          <t>安全管理要点：智慧服务系统基础设施、管理与安全状况应用范围：身份认证系统占全部系统比例</t>
        </is>
      </c>
      <c r="D20" s="7" t="inlineStr">
        <is>
          <t>3</t>
        </is>
      </c>
      <c r="E20" s="7" t="inlineStr">
        <is>
          <t>（3）服务器仅开放必要的网络服务端口；</t>
        </is>
      </c>
      <c r="F20" s="7" t="inlineStr">
        <is>
          <t>待确认</t>
        </is>
      </c>
      <c r="G20" s="7">
        <f>IF(F20="符合",1,0)</f>
        <v/>
      </c>
      <c r="H20" s="7" t="inlineStr"/>
      <c r="I20" s="7" t="inlineStr"/>
      <c r="J20" s="7" t="inlineStr"/>
      <c r="K20" s="7" t="inlineStr"/>
      <c r="L20" s="7" t="inlineStr"/>
      <c r="M20" s="7" t="inlineStr"/>
      <c r="N20" s="7" t="inlineStr">
        <is>
          <t>table=17, row=8</t>
        </is>
      </c>
    </row>
    <row r="21">
      <c r="A21" s="7" t="n">
        <v>20</v>
      </c>
      <c r="B21" s="7" t="inlineStr">
        <is>
          <t>基础与安全</t>
        </is>
      </c>
      <c r="C21" s="7" t="inlineStr">
        <is>
          <t>安全管理要点：智慧服务系统基础设施、管理与安全状况应用范围：身份认证系统占全部系统比例</t>
        </is>
      </c>
      <c r="D21" s="7" t="inlineStr">
        <is>
          <t>4</t>
        </is>
      </c>
      <c r="E21" s="7" t="inlineStr">
        <is>
          <t>（4）系统之间进行数据交互时需要进行授权认证，对敏感数据进行标记，与其他系统进行数据交互时，可根据敏感标记进行有效控制；</t>
        </is>
      </c>
      <c r="F21" s="7" t="inlineStr">
        <is>
          <t>待确认</t>
        </is>
      </c>
      <c r="G21" s="7">
        <f>IF(F21="符合",1,0)</f>
        <v/>
      </c>
      <c r="H21" s="7" t="inlineStr"/>
      <c r="I21" s="7" t="inlineStr"/>
      <c r="J21" s="7" t="inlineStr"/>
      <c r="K21" s="7" t="inlineStr"/>
      <c r="L21" s="7" t="inlineStr"/>
      <c r="M21" s="7" t="inlineStr"/>
      <c r="N21" s="7" t="inlineStr">
        <is>
          <t>table=17, row=9</t>
        </is>
      </c>
    </row>
    <row r="22">
      <c r="A22" s="7" t="n">
        <v>21</v>
      </c>
      <c r="B22" s="7" t="inlineStr">
        <is>
          <t>基础与安全</t>
        </is>
      </c>
      <c r="C22" s="7" t="inlineStr">
        <is>
          <t>安全管理要点：智慧服务系统基础设施、管理与安全状况应用范围：身份认证系统占全部系统比例</t>
        </is>
      </c>
      <c r="D22" s="7" t="inlineStr">
        <is>
          <t>5</t>
        </is>
      </c>
      <c r="E22" s="7" t="inlineStr">
        <is>
          <t>（5）具备有效避免越权的措施，具备完整的授权审批管理流程，操作过程可通过系统追溯。</t>
        </is>
      </c>
      <c r="F22" s="7" t="inlineStr">
        <is>
          <t>待确认</t>
        </is>
      </c>
      <c r="G22" s="7">
        <f>IF(F22="符合",1,0)</f>
        <v/>
      </c>
      <c r="H22" s="7" t="inlineStr"/>
      <c r="I22" s="7" t="inlineStr"/>
      <c r="J22" s="7" t="inlineStr"/>
      <c r="K22" s="7" t="inlineStr"/>
      <c r="L22" s="7" t="inlineStr"/>
      <c r="M22" s="7" t="inlineStr"/>
      <c r="N22" s="7" t="inlineStr">
        <is>
          <t>table=17, row=10</t>
        </is>
      </c>
    </row>
  </sheetData>
  <conditionalFormatting sqref="F2:F22">
    <cfRule type="cellIs" priority="1" operator="equal" dxfId="0">
      <formula>"符合"</formula>
    </cfRule>
    <cfRule type="cellIs" priority="2" operator="equal" dxfId="1">
      <formula>"不符合"</formula>
    </cfRule>
  </conditionalFormatting>
  <dataValidations count="1">
    <dataValidation sqref="F2:F22" showDropDown="0" showInputMessage="0" showErrorMessage="0" allowBlank="1" type="list">
      <formula1>"符合,部分符合,不符合,待确认"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使用说明</t>
        </is>
      </c>
    </row>
    <row r="2">
      <c r="A2" t="inlineStr">
        <is>
          <t>1. 本表用于医院智慧服务2级申报的内部自评。</t>
        </is>
      </c>
    </row>
    <row r="3">
      <c r="A3" t="inlineStr">
        <is>
          <t>2. 先在【2级基本项清单】逐条填写“现场状态”和证据材料。</t>
        </is>
      </c>
    </row>
    <row r="4">
      <c r="A4" t="inlineStr">
        <is>
          <t>3. 现场状态口径：符合/部分符合/不符合/待确认。</t>
        </is>
      </c>
    </row>
    <row r="5">
      <c r="A5" t="inlineStr">
        <is>
          <t>4. 自评得分列自动计算：符合=1，其余=0。</t>
        </is>
      </c>
    </row>
    <row r="6">
      <c r="A6" t="inlineStr">
        <is>
          <t>5. 在【2级申报总览】填写“综合评估总分”“选择项目达标数”。</t>
        </is>
      </c>
    </row>
    <row r="7">
      <c r="A7" t="inlineStr">
        <is>
          <t>6. 申报建议为辅助判断，正式申报前应组织专家复核。</t>
        </is>
      </c>
    </row>
    <row r="8">
      <c r="A8" t="inlineStr">
        <is>
          <t>7. 2级关键门槛：最低总分20分、基本项目6项全部达标、选择项目至少6/11。</t>
        </is>
      </c>
    </row>
    <row r="9">
      <c r="A9" t="inlineStr"/>
    </row>
    <row r="10">
      <c r="A10" t="inlineStr">
        <is>
          <t>字段说明</t>
        </is>
      </c>
    </row>
    <row r="11">
      <c r="A11" t="inlineStr">
        <is>
          <t>- 来源定位：对应标准抽取记录位置（table_index, row_index），用于审计追溯。</t>
        </is>
      </c>
    </row>
    <row r="12">
      <c r="A12" t="inlineStr">
        <is>
          <t>- 证据材料：建议填写制度编号、系统截图路径、报表导出路径等。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2026-03-31T08:12:24Z</dcterms:created>
  <dcterms:modified xmlns:dcterms="http://purl.org/dc/terms/" xmlns:xsi="http://www.w3.org/2001/XMLSchema-instance" xsi:type="dcterms:W3CDTF">2026-03-31T08:12:24Z</dcterms:modified>
</cp:coreProperties>
</file>